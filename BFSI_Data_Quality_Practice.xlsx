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s" sheetId="1" state="visible" r:id="rId1"/>
    <sheet xmlns:r="http://schemas.openxmlformats.org/officeDocument/2006/relationships" name="Duplicates" sheetId="2" state="visible" r:id="rId2"/>
    <sheet xmlns:r="http://schemas.openxmlformats.org/officeDocument/2006/relationships" name="Outliers" sheetId="3" state="visible" r:id="rId3"/>
    <sheet xmlns:r="http://schemas.openxmlformats.org/officeDocument/2006/relationships" name="Format Inconsistencies" sheetId="4" state="visible" r:id="rId4"/>
    <sheet xmlns:r="http://schemas.openxmlformats.org/officeDocument/2006/relationships" name="Stale Data" sheetId="5" state="visible" r:id="rId5"/>
    <sheet xmlns:r="http://schemas.openxmlformats.org/officeDocument/2006/relationships" name="Referential Integrity" sheetId="6" state="visible" r:id="rId6"/>
    <sheet xmlns:r="http://schemas.openxmlformats.org/officeDocument/2006/relationships" name="Truncation Encoding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BFSI Combined Practice" sheetId="9" state="visible" r:id="rId9"/>
  </sheets>
  <definedNames>
    <definedName name="_xlnm._FilterDatabase" localSheetId="0" hidden="1">'Missing Values'!$A$1:$G$6</definedName>
    <definedName name="_xlnm._FilterDatabase" localSheetId="1" hidden="1">'Duplicates'!$A$1:$G$6</definedName>
    <definedName name="_xlnm._FilterDatabase" localSheetId="2" hidden="1">'Outliers'!$A$1:$E$6</definedName>
    <definedName name="_xlnm._FilterDatabase" localSheetId="3" hidden="1">'Format Inconsistencies'!$A$1:$H$6</definedName>
    <definedName name="_xlnm._FilterDatabase" localSheetId="4" hidden="1">'Stale Data'!$A$1:$E$6</definedName>
    <definedName name="_xlnm._FilterDatabase" localSheetId="5" hidden="1">'Referential Integrity'!$A$1:$F$6</definedName>
    <definedName name="_xlnm._FilterDatabase" localSheetId="6" hidden="1">'Truncation Encoding'!$A$1:$E$6</definedName>
    <definedName name="_xlnm._FilterDatabase" localSheetId="7" hidden="1">'Reconciliation'!$A$1:$F$6</definedName>
    <definedName name="_xlnm._FilterDatabase" localSheetId="8" hidden="1">'BFSI Combined Practice'!$A$1:$I$6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1" customWidth="1" min="5" max="5"/>
    <col width="25" customWidth="1" min="6" max="6"/>
    <col width="28" customWidth="1" min="7" max="7"/>
  </cols>
  <sheetData>
    <row r="1">
      <c r="A1" s="1" t="inlineStr">
        <is>
          <t>Customer ID</t>
        </is>
      </c>
      <c r="B1" s="1" t="inlineStr">
        <is>
          <t>Income</t>
        </is>
      </c>
      <c r="C1" s="1" t="inlineStr">
        <is>
          <t>City</t>
        </is>
      </c>
      <c r="D1" s="1" t="inlineStr">
        <is>
          <t>Occupation</t>
        </is>
      </c>
      <c r="E1" s="1" t="inlineStr">
        <is>
          <t>Co-applicant Income</t>
        </is>
      </c>
      <c r="F1" s="1" t="inlineStr">
        <is>
          <t>Solution / Formula</t>
        </is>
      </c>
      <c r="G1" s="1" t="inlineStr">
        <is>
          <t>Practice</t>
        </is>
      </c>
    </row>
    <row r="2">
      <c r="A2" t="inlineStr">
        <is>
          <t>C001</t>
        </is>
      </c>
      <c r="B2" t="n">
        <v>50000</v>
      </c>
      <c r="C2" t="inlineStr">
        <is>
          <t>Indore</t>
        </is>
      </c>
      <c r="D2" t="inlineStr">
        <is>
          <t>Engineer</t>
        </is>
      </c>
      <c r="F2">
        <f>IF(E2="",0,E2)</f>
        <v/>
      </c>
      <c r="G2" t="inlineStr"/>
    </row>
    <row r="3">
      <c r="A3" t="inlineStr">
        <is>
          <t>C002</t>
        </is>
      </c>
      <c r="B3" t="n">
        <v>62000</v>
      </c>
      <c r="C3" t="inlineStr">
        <is>
          <t>Bhopal</t>
        </is>
      </c>
      <c r="D3" t="inlineStr">
        <is>
          <t>Teacher</t>
        </is>
      </c>
      <c r="E3" t="n">
        <v>15000</v>
      </c>
      <c r="F3">
        <f>IF(E3="",0,E3)</f>
        <v/>
      </c>
      <c r="G3" t="inlineStr"/>
    </row>
    <row r="4">
      <c r="A4" t="inlineStr">
        <is>
          <t>C003</t>
        </is>
      </c>
      <c r="C4" t="inlineStr">
        <is>
          <t>Indore</t>
        </is>
      </c>
      <c r="D4" t="inlineStr">
        <is>
          <t>Business</t>
        </is>
      </c>
      <c r="E4" t="n">
        <v>0</v>
      </c>
      <c r="F4">
        <f>IF(B4="","Missing",B4)</f>
        <v/>
      </c>
      <c r="G4" t="inlineStr"/>
    </row>
    <row r="5">
      <c r="A5" t="inlineStr">
        <is>
          <t>C004</t>
        </is>
      </c>
      <c r="B5" t="n">
        <v>75000</v>
      </c>
      <c r="C5" t="inlineStr">
        <is>
          <t>Indore</t>
        </is>
      </c>
      <c r="D5" t="inlineStr">
        <is>
          <t>Engineer</t>
        </is>
      </c>
      <c r="F5">
        <f>IF(E5="",0,E5)</f>
        <v/>
      </c>
      <c r="G5" t="inlineStr"/>
    </row>
    <row r="6">
      <c r="A6" t="inlineStr">
        <is>
          <t>C005</t>
        </is>
      </c>
      <c r="C6" t="inlineStr">
        <is>
          <t>Bhopal</t>
        </is>
      </c>
      <c r="D6" t="inlineStr">
        <is>
          <t>Teacher</t>
        </is>
      </c>
      <c r="E6" t="n">
        <v>12000</v>
      </c>
      <c r="F6">
        <f>IF(B6="","Missing",B6)</f>
        <v/>
      </c>
      <c r="G6" t="inlineStr"/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12" customWidth="1" min="4" max="4"/>
    <col width="12" customWidth="1" min="5" max="5"/>
    <col width="42" customWidth="1" min="6" max="6"/>
    <col width="28" customWidth="1" min="7" max="7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PAN</t>
        </is>
      </c>
      <c r="D1" s="1" t="inlineStr">
        <is>
          <t>Mobile</t>
        </is>
      </c>
      <c r="E1" s="1" t="inlineStr">
        <is>
          <t>DOB</t>
        </is>
      </c>
      <c r="F1" s="1" t="inlineStr">
        <is>
          <t>Solution / Formula</t>
        </is>
      </c>
      <c r="G1" s="1" t="inlineStr">
        <is>
          <t>Practice</t>
        </is>
      </c>
    </row>
    <row r="2">
      <c r="A2" t="inlineStr">
        <is>
          <t>C001</t>
        </is>
      </c>
      <c r="B2" t="inlineStr">
        <is>
          <t>Ram Gopal Prajapati</t>
        </is>
      </c>
      <c r="C2" t="inlineStr">
        <is>
          <t>ABCDE1234F</t>
        </is>
      </c>
      <c r="D2" t="inlineStr">
        <is>
          <t>9876543210</t>
        </is>
      </c>
      <c r="E2" t="inlineStr">
        <is>
          <t>1998-05-12</t>
        </is>
      </c>
      <c r="F2">
        <f>IF(COUNTIF(C:C,C2)&gt;1,"Duplicate","Unique")</f>
        <v/>
      </c>
      <c r="G2" t="inlineStr"/>
    </row>
    <row r="3">
      <c r="A3" t="inlineStr">
        <is>
          <t>C002</t>
        </is>
      </c>
      <c r="B3" t="inlineStr">
        <is>
          <t>Ramgopal Prajapati</t>
        </is>
      </c>
      <c r="C3" t="inlineStr">
        <is>
          <t>ABCDE1234F</t>
        </is>
      </c>
      <c r="D3" t="inlineStr">
        <is>
          <t>9876543210</t>
        </is>
      </c>
      <c r="E3" t="inlineStr">
        <is>
          <t>1998-05-12</t>
        </is>
      </c>
      <c r="F3">
        <f>IF(COUNTIF(C:C,C3)&gt;1,"Duplicate","Unique")</f>
        <v/>
      </c>
      <c r="G3" t="inlineStr"/>
    </row>
    <row r="4">
      <c r="A4" t="inlineStr">
        <is>
          <t>C003</t>
        </is>
      </c>
      <c r="B4" t="inlineStr">
        <is>
          <t>R. G. Prajapati</t>
        </is>
      </c>
      <c r="C4" t="inlineStr">
        <is>
          <t>XYZDE5678K</t>
        </is>
      </c>
      <c r="D4" t="inlineStr">
        <is>
          <t>9123456780</t>
        </is>
      </c>
      <c r="E4" t="inlineStr">
        <is>
          <t>1997-08-20</t>
        </is>
      </c>
      <c r="F4">
        <f>IF(COUNTIF(C:C,C4)&gt;1,"Duplicate","Unique")</f>
        <v/>
      </c>
      <c r="G4" t="inlineStr"/>
    </row>
    <row r="5">
      <c r="A5" t="inlineStr">
        <is>
          <t>C004</t>
        </is>
      </c>
      <c r="B5" t="inlineStr">
        <is>
          <t>Neha Sharma</t>
        </is>
      </c>
      <c r="C5" t="inlineStr">
        <is>
          <t>LMNOP1234Q</t>
        </is>
      </c>
      <c r="D5" t="inlineStr">
        <is>
          <t>9988776655</t>
        </is>
      </c>
      <c r="E5" t="inlineStr">
        <is>
          <t>1999-01-15</t>
        </is>
      </c>
      <c r="F5">
        <f>IF(COUNTIF(C:C,C5)&gt;1,"Duplicate","Unique")</f>
        <v/>
      </c>
      <c r="G5" t="inlineStr"/>
    </row>
    <row r="6">
      <c r="A6" t="inlineStr">
        <is>
          <t>C005</t>
        </is>
      </c>
      <c r="B6" t="inlineStr">
        <is>
          <t>Neha Sharma</t>
        </is>
      </c>
      <c r="C6" t="inlineStr">
        <is>
          <t>LMNOP1234Q</t>
        </is>
      </c>
      <c r="D6" t="inlineStr">
        <is>
          <t>9988776655</t>
        </is>
      </c>
      <c r="E6" t="inlineStr">
        <is>
          <t>1999-01-15</t>
        </is>
      </c>
      <c r="F6">
        <f>IF(COUNTIF(C:C,C6)&gt;1,"Duplicate","Unique")</f>
        <v/>
      </c>
      <c r="G6" t="inlineStr"/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42" customWidth="1" min="4" max="4"/>
    <col width="28" customWidth="1" min="5" max="5"/>
  </cols>
  <sheetData>
    <row r="1">
      <c r="A1" s="1" t="inlineStr">
        <is>
          <t>Customer ID</t>
        </is>
      </c>
      <c r="B1" s="1" t="inlineStr">
        <is>
          <t>Monthly Salary</t>
        </is>
      </c>
      <c r="C1" s="1" t="inlineStr">
        <is>
          <t>Transaction Amount</t>
        </is>
      </c>
      <c r="D1" s="1" t="inlineStr">
        <is>
          <t>Solution / Formula</t>
        </is>
      </c>
      <c r="E1" s="1" t="inlineStr">
        <is>
          <t>Practice</t>
        </is>
      </c>
    </row>
    <row r="2">
      <c r="A2" t="inlineStr">
        <is>
          <t>C001</t>
        </is>
      </c>
      <c r="B2" t="n">
        <v>50000</v>
      </c>
      <c r="C2" t="n">
        <v>25000</v>
      </c>
      <c r="D2">
        <f>IF(B2&gt;QUARTILE.INC(B:B,3)+1.5*(QUARTILE.INC(B:B,3)-QUARTILE.INC(B:B,1)),"Outlier","Normal")</f>
        <v/>
      </c>
      <c r="E2" t="inlineStr"/>
    </row>
    <row r="3">
      <c r="A3" t="inlineStr">
        <is>
          <t>C002</t>
        </is>
      </c>
      <c r="B3" t="n">
        <v>55000</v>
      </c>
      <c r="C3" t="n">
        <v>30000</v>
      </c>
      <c r="D3">
        <f>IF(B3&gt;QUARTILE.INC(B:B,3)+1.5*(QUARTILE.INC(B:B,3)-QUARTILE.INC(B:B,1)),"Outlier","Normal")</f>
        <v/>
      </c>
      <c r="E3" t="inlineStr"/>
    </row>
    <row r="4">
      <c r="A4" t="inlineStr">
        <is>
          <t>C003</t>
        </is>
      </c>
      <c r="B4" t="n">
        <v>52000</v>
      </c>
      <c r="C4" t="n">
        <v>28000</v>
      </c>
      <c r="D4">
        <f>IF(B4&gt;QUARTILE.INC(B:B,3)+1.5*(QUARTILE.INC(B:B,3)-QUARTILE.INC(B:B,1)),"Outlier","Normal")</f>
        <v/>
      </c>
      <c r="E4" t="inlineStr"/>
    </row>
    <row r="5">
      <c r="A5" t="inlineStr">
        <is>
          <t>C004</t>
        </is>
      </c>
      <c r="B5" t="n">
        <v>50000000</v>
      </c>
      <c r="C5" t="n">
        <v>20000000</v>
      </c>
      <c r="D5">
        <f>IF(B5&gt;QUARTILE.INC(B:B,3)+1.5*(QUARTILE.INC(B:B,3)-QUARTILE.INC(B:B,1)),"Outlier","Normal")</f>
        <v/>
      </c>
      <c r="E5" t="inlineStr"/>
    </row>
    <row r="6">
      <c r="A6" t="inlineStr">
        <is>
          <t>C005</t>
        </is>
      </c>
      <c r="B6" t="n">
        <v>60000</v>
      </c>
      <c r="C6" t="n">
        <v>35000</v>
      </c>
      <c r="D6">
        <f>IF(B6&gt;QUARTILE.INC(B:B,3)+1.5*(QUARTILE.INC(B:B,3)-QUARTILE.INC(B:B,1)),"Outlier","Normal")</f>
        <v/>
      </c>
      <c r="E6" t="inlineStr"/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20" customWidth="1" min="7" max="7"/>
    <col width="28" customWidth="1" min="8" max="8"/>
  </cols>
  <sheetData>
    <row r="1">
      <c r="A1" s="1" t="inlineStr">
        <is>
          <t>Customer 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Mobile</t>
        </is>
      </c>
      <c r="G1" s="1" t="inlineStr">
        <is>
          <t>Solution / Formula</t>
        </is>
      </c>
      <c r="H1" s="1" t="inlineStr">
        <is>
          <t>Practice</t>
        </is>
      </c>
    </row>
    <row r="2">
      <c r="A2" t="inlineStr">
        <is>
          <t>C001</t>
        </is>
      </c>
      <c r="B2" t="inlineStr">
        <is>
          <t>01/02/2026</t>
        </is>
      </c>
      <c r="C2" t="inlineStr">
        <is>
          <t>₹1,20,000</t>
        </is>
      </c>
      <c r="D2" t="inlineStr">
        <is>
          <t>M</t>
        </is>
      </c>
      <c r="E2" t="inlineStr">
        <is>
          <t xml:space="preserve">Indore </t>
        </is>
      </c>
      <c r="F2" t="inlineStr">
        <is>
          <t>+91 9876543210</t>
        </is>
      </c>
      <c r="G2">
        <f>UPPER(TRIM(E2))</f>
        <v/>
      </c>
      <c r="H2" t="inlineStr"/>
    </row>
    <row r="3">
      <c r="A3" t="inlineStr">
        <is>
          <t>C002</t>
        </is>
      </c>
      <c r="B3" t="inlineStr">
        <is>
          <t>02/03/2026</t>
        </is>
      </c>
      <c r="C3" t="inlineStr">
        <is>
          <t>1.2 Lakh</t>
        </is>
      </c>
      <c r="D3" t="inlineStr">
        <is>
          <t>Male</t>
        </is>
      </c>
      <c r="E3" t="inlineStr">
        <is>
          <t>indore</t>
        </is>
      </c>
      <c r="F3" t="inlineStr">
        <is>
          <t>0987654321</t>
        </is>
      </c>
      <c r="G3">
        <f>UPPER(TRIM(E3))</f>
        <v/>
      </c>
      <c r="H3" t="inlineStr"/>
    </row>
    <row r="4">
      <c r="A4" t="inlineStr">
        <is>
          <t>C003</t>
        </is>
      </c>
      <c r="B4" t="inlineStr">
        <is>
          <t>03/04/2026</t>
        </is>
      </c>
      <c r="C4" t="inlineStr">
        <is>
          <t>(5,000)</t>
        </is>
      </c>
      <c r="D4" t="inlineStr">
        <is>
          <t>F</t>
        </is>
      </c>
      <c r="E4" t="inlineStr">
        <is>
          <t>INDORE</t>
        </is>
      </c>
      <c r="F4" t="inlineStr">
        <is>
          <t>+919123456780</t>
        </is>
      </c>
      <c r="G4">
        <f>UPPER(TRIM(E4))</f>
        <v/>
      </c>
      <c r="H4" t="inlineStr"/>
    </row>
    <row r="5">
      <c r="A5" t="inlineStr">
        <is>
          <t>C004</t>
        </is>
      </c>
      <c r="B5" t="inlineStr">
        <is>
          <t>04/05/2026</t>
        </is>
      </c>
      <c r="C5" t="inlineStr">
        <is>
          <t>₹75000</t>
        </is>
      </c>
      <c r="D5" t="inlineStr">
        <is>
          <t>Female</t>
        </is>
      </c>
      <c r="E5" t="inlineStr">
        <is>
          <t>Bhopal</t>
        </is>
      </c>
      <c r="F5" t="inlineStr">
        <is>
          <t>091234567890</t>
        </is>
      </c>
      <c r="G5">
        <f>UPPER(TRIM(E5))</f>
        <v/>
      </c>
      <c r="H5" t="inlineStr"/>
    </row>
    <row r="6">
      <c r="A6" t="inlineStr">
        <is>
          <t>C005</t>
        </is>
      </c>
      <c r="B6" t="inlineStr">
        <is>
          <t>05/06/2026</t>
        </is>
      </c>
      <c r="C6" t="inlineStr">
        <is>
          <t>2.5 Lakh</t>
        </is>
      </c>
      <c r="D6" t="inlineStr">
        <is>
          <t>M</t>
        </is>
      </c>
      <c r="E6" t="inlineStr">
        <is>
          <t xml:space="preserve"> Bhopal </t>
        </is>
      </c>
      <c r="F6" t="inlineStr">
        <is>
          <t>+91 9988776655</t>
        </is>
      </c>
      <c r="G6">
        <f>UPPER(TRIM(E6))</f>
        <v/>
      </c>
      <c r="H6" t="inlineStr"/>
    </row>
  </sheetData>
  <autoFilter ref="A1:H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42" customWidth="1" min="4" max="4"/>
    <col width="28" customWidth="1" min="5" max="5"/>
  </cols>
  <sheetData>
    <row r="1">
      <c r="A1" s="1" t="inlineStr">
        <is>
          <t>Customer ID</t>
        </is>
      </c>
      <c r="B1" s="1" t="inlineStr">
        <is>
          <t>Last Updated</t>
        </is>
      </c>
      <c r="C1" s="1" t="inlineStr">
        <is>
          <t>Current Date</t>
        </is>
      </c>
      <c r="D1" s="1" t="inlineStr">
        <is>
          <t>Solution / Formula</t>
        </is>
      </c>
      <c r="E1" s="1" t="inlineStr">
        <is>
          <t>Practice</t>
        </is>
      </c>
    </row>
    <row r="2">
      <c r="A2" t="inlineStr">
        <is>
          <t>C001</t>
        </is>
      </c>
      <c r="B2" t="inlineStr">
        <is>
          <t>2019-04-10</t>
        </is>
      </c>
      <c r="C2" t="inlineStr">
        <is>
          <t>2026-08-26</t>
        </is>
      </c>
      <c r="D2">
        <f>IF(DATEDIF(B2,C2,"Y")&gt;5,"Stale","Current")</f>
        <v/>
      </c>
      <c r="E2" t="inlineStr"/>
    </row>
    <row r="3">
      <c r="A3" t="inlineStr">
        <is>
          <t>C002</t>
        </is>
      </c>
      <c r="B3" t="inlineStr">
        <is>
          <t>2025-08-10</t>
        </is>
      </c>
      <c r="C3" t="inlineStr">
        <is>
          <t>2026-08-26</t>
        </is>
      </c>
      <c r="D3">
        <f>IF(DATEDIF(B3,C3,"Y")&gt;5,"Stale","Current")</f>
        <v/>
      </c>
      <c r="E3" t="inlineStr"/>
    </row>
    <row r="4">
      <c r="A4" t="inlineStr">
        <is>
          <t>C003</t>
        </is>
      </c>
      <c r="B4" t="inlineStr">
        <is>
          <t>2018-01-15</t>
        </is>
      </c>
      <c r="C4" t="inlineStr">
        <is>
          <t>2026-08-26</t>
        </is>
      </c>
      <c r="D4">
        <f>IF(DATEDIF(B4,C4,"Y")&gt;5,"Stale","Current")</f>
        <v/>
      </c>
      <c r="E4" t="inlineStr"/>
    </row>
    <row r="5">
      <c r="A5" t="inlineStr">
        <is>
          <t>C004</t>
        </is>
      </c>
      <c r="B5" t="inlineStr">
        <is>
          <t>2024-06-20</t>
        </is>
      </c>
      <c r="C5" t="inlineStr">
        <is>
          <t>2026-08-26</t>
        </is>
      </c>
      <c r="D5">
        <f>IF(DATEDIF(B5,C5,"Y")&gt;5,"Stale","Current")</f>
        <v/>
      </c>
      <c r="E5" t="inlineStr"/>
    </row>
    <row r="6">
      <c r="A6" t="inlineStr">
        <is>
          <t>C005</t>
        </is>
      </c>
      <c r="B6" t="inlineStr">
        <is>
          <t>2017-11-01</t>
        </is>
      </c>
      <c r="C6" t="inlineStr">
        <is>
          <t>2026-08-26</t>
        </is>
      </c>
      <c r="D6">
        <f>IF(DATEDIF(B6,C6,"Y")&gt;5,"Stale","Current")</f>
        <v/>
      </c>
      <c r="E6" t="inlineStr"/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0" customWidth="1" min="3" max="3"/>
    <col width="20" customWidth="1" min="4" max="4"/>
    <col width="42" customWidth="1" min="5" max="5"/>
    <col width="28" customWidth="1" min="6" max="6"/>
  </cols>
  <sheetData>
    <row r="1">
      <c r="A1" s="1" t="inlineStr">
        <is>
          <t>Transaction ID</t>
        </is>
      </c>
      <c r="B1" s="1" t="inlineStr">
        <is>
          <t>Customer ID</t>
        </is>
      </c>
      <c r="C1" s="1" t="inlineStr">
        <is>
          <t>Transaction Amount</t>
        </is>
      </c>
      <c r="D1" s="1" t="inlineStr">
        <is>
          <t>Customer Master ID</t>
        </is>
      </c>
      <c r="E1" s="1" t="inlineStr">
        <is>
          <t>Solution / Formula</t>
        </is>
      </c>
      <c r="F1" s="1" t="inlineStr">
        <is>
          <t>Practice</t>
        </is>
      </c>
    </row>
    <row r="2">
      <c r="A2" t="inlineStr">
        <is>
          <t>T001</t>
        </is>
      </c>
      <c r="B2" t="inlineStr">
        <is>
          <t>C001</t>
        </is>
      </c>
      <c r="C2" t="n">
        <v>25000</v>
      </c>
      <c r="D2" t="inlineStr">
        <is>
          <t>C001</t>
        </is>
      </c>
      <c r="E2">
        <f>IF(COUNTIF(D:D,B2)&gt;0,"Valid","Broken Reference")</f>
        <v/>
      </c>
      <c r="F2" t="inlineStr"/>
    </row>
    <row r="3">
      <c r="A3" t="inlineStr">
        <is>
          <t>T002</t>
        </is>
      </c>
      <c r="B3" t="inlineStr">
        <is>
          <t>C002</t>
        </is>
      </c>
      <c r="C3" t="n">
        <v>30000</v>
      </c>
      <c r="D3" t="inlineStr">
        <is>
          <t>C003</t>
        </is>
      </c>
      <c r="E3">
        <f>IF(COUNTIF(D:D,B3)&gt;0,"Valid","Broken Reference")</f>
        <v/>
      </c>
      <c r="F3" t="inlineStr"/>
    </row>
    <row r="4">
      <c r="A4" t="inlineStr">
        <is>
          <t>T003</t>
        </is>
      </c>
      <c r="B4" t="inlineStr">
        <is>
          <t>C003</t>
        </is>
      </c>
      <c r="C4" t="n">
        <v>45000</v>
      </c>
      <c r="D4" t="inlineStr">
        <is>
          <t>C003</t>
        </is>
      </c>
      <c r="E4">
        <f>IF(COUNTIF(D:D,B4)&gt;0,"Valid","Broken Reference")</f>
        <v/>
      </c>
      <c r="F4" t="inlineStr"/>
    </row>
    <row r="5">
      <c r="A5" t="inlineStr">
        <is>
          <t>T004</t>
        </is>
      </c>
      <c r="B5" t="inlineStr">
        <is>
          <t>C009</t>
        </is>
      </c>
      <c r="C5" t="n">
        <v>12000</v>
      </c>
      <c r="D5" t="inlineStr">
        <is>
          <t>C004</t>
        </is>
      </c>
      <c r="E5">
        <f>IF(COUNTIF(D:D,B5)&gt;0,"Valid","Broken Reference")</f>
        <v/>
      </c>
      <c r="F5" t="inlineStr"/>
    </row>
    <row r="6">
      <c r="A6" t="inlineStr">
        <is>
          <t>T005</t>
        </is>
      </c>
      <c r="B6" t="inlineStr">
        <is>
          <t>C005</t>
        </is>
      </c>
      <c r="C6" t="n">
        <v>18000</v>
      </c>
      <c r="D6" t="inlineStr">
        <is>
          <t>C005</t>
        </is>
      </c>
      <c r="E6">
        <f>IF(COUNTIF(D:D,B6)&gt;0,"Valid","Broken Reference")</f>
        <v/>
      </c>
      <c r="F6" t="inlineStr"/>
    </row>
  </sheetData>
  <autoFilter ref="A1:F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2" customWidth="1" min="3" max="3"/>
    <col width="34" customWidth="1" min="4" max="4"/>
    <col width="28" customWidth="1" min="5" max="5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Original Name Length</t>
        </is>
      </c>
      <c r="D1" s="1" t="inlineStr">
        <is>
          <t>Solution / Formula</t>
        </is>
      </c>
      <c r="E1" s="1" t="inlineStr">
        <is>
          <t>Practice</t>
        </is>
      </c>
    </row>
    <row r="2">
      <c r="A2" t="inlineStr">
        <is>
          <t>C001</t>
        </is>
      </c>
      <c r="B2" t="inlineStr">
        <is>
          <t>Ram Gopal Prajapati</t>
        </is>
      </c>
      <c r="C2" t="n">
        <v>19</v>
      </c>
      <c r="D2">
        <f>IF(LEN(B2)&gt;30,"Truncated","OK")</f>
        <v/>
      </c>
      <c r="E2" t="inlineStr"/>
    </row>
    <row r="3">
      <c r="A3" t="inlineStr">
        <is>
          <t>C002</t>
        </is>
      </c>
      <c r="B3" t="inlineStr">
        <is>
          <t>José Fernández</t>
        </is>
      </c>
      <c r="C3" t="n">
        <v>14</v>
      </c>
      <c r="D3">
        <f>IF(LEN(B3)&gt;30,"Truncated","OK")</f>
        <v/>
      </c>
      <c r="E3" t="inlineStr"/>
    </row>
    <row r="4">
      <c r="A4" t="inlineStr">
        <is>
          <t>C003</t>
        </is>
      </c>
      <c r="B4" t="inlineStr">
        <is>
          <t>Amit Kumar Singh Verma Sharma</t>
        </is>
      </c>
      <c r="C4" t="n">
        <v>29</v>
      </c>
      <c r="D4">
        <f>IF(LEN(B4)&gt;30,"Truncated","OK")</f>
        <v/>
      </c>
      <c r="E4" t="inlineStr"/>
    </row>
    <row r="5">
      <c r="A5" t="inlineStr">
        <is>
          <t>C004</t>
        </is>
      </c>
      <c r="B5" t="inlineStr">
        <is>
          <t>Customer Name With Very Long Text Exceeding Limit</t>
        </is>
      </c>
      <c r="C5" t="n">
        <v>49</v>
      </c>
      <c r="D5">
        <f>IF(LEN(B5)&gt;30,"Truncated","OK")</f>
        <v/>
      </c>
      <c r="E5" t="inlineStr"/>
    </row>
    <row r="6">
      <c r="A6" t="inlineStr">
        <is>
          <t>C005</t>
        </is>
      </c>
      <c r="B6" t="inlineStr">
        <is>
          <t>Neha Sharma</t>
        </is>
      </c>
      <c r="C6" t="n">
        <v>11</v>
      </c>
      <c r="D6">
        <f>IF(LEN(B6)&gt;30,"Truncated","OK")</f>
        <v/>
      </c>
      <c r="E6" t="inlineStr"/>
    </row>
  </sheetData>
  <autoFilter ref="A1:E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36" customWidth="1" min="5" max="5"/>
    <col width="28" customWidth="1" min="6" max="6"/>
  </cols>
  <sheetData>
    <row r="1">
      <c r="A1" s="1" t="inlineStr">
        <is>
          <t>Report</t>
        </is>
      </c>
      <c r="B1" s="1" t="inlineStr">
        <is>
          <t>Branch</t>
        </is>
      </c>
      <c r="C1" s="1" t="inlineStr">
        <is>
          <t>Dashboard Total</t>
        </is>
      </c>
      <c r="D1" s="1" t="inlineStr">
        <is>
          <t>Source Total</t>
        </is>
      </c>
      <c r="E1" s="1" t="inlineStr">
        <is>
          <t>Solution / Formula</t>
        </is>
      </c>
      <c r="F1" s="1" t="inlineStr">
        <is>
          <t>Practice</t>
        </is>
      </c>
    </row>
    <row r="2">
      <c r="A2" t="inlineStr">
        <is>
          <t>Deposits</t>
        </is>
      </c>
      <c r="B2" t="inlineStr">
        <is>
          <t>Indore</t>
        </is>
      </c>
      <c r="C2" t="n">
        <v>12500000</v>
      </c>
      <c r="D2" t="n">
        <v>12500000</v>
      </c>
      <c r="E2">
        <f>IF(C2=D2,"Reconciled","Mismatch")</f>
        <v/>
      </c>
      <c r="F2" t="inlineStr"/>
    </row>
    <row r="3">
      <c r="A3" t="inlineStr">
        <is>
          <t>Deposits</t>
        </is>
      </c>
      <c r="B3" t="inlineStr">
        <is>
          <t>Bhopal</t>
        </is>
      </c>
      <c r="C3" t="n">
        <v>9800000</v>
      </c>
      <c r="D3" t="n">
        <v>10000000</v>
      </c>
      <c r="E3">
        <f>IF(C3=D3,"Reconciled","Mismatch")</f>
        <v/>
      </c>
      <c r="F3" t="inlineStr"/>
    </row>
    <row r="4">
      <c r="A4" t="inlineStr">
        <is>
          <t>Loans</t>
        </is>
      </c>
      <c r="B4" t="inlineStr">
        <is>
          <t>Indore</t>
        </is>
      </c>
      <c r="C4" t="n">
        <v>22500000</v>
      </c>
      <c r="D4" t="n">
        <v>22500000</v>
      </c>
      <c r="E4">
        <f>IF(C4=D4,"Reconciled","Mismatch")</f>
        <v/>
      </c>
      <c r="F4" t="inlineStr"/>
    </row>
    <row r="5">
      <c r="A5" t="inlineStr">
        <is>
          <t>Loans</t>
        </is>
      </c>
      <c r="B5" t="inlineStr">
        <is>
          <t>Bhopal</t>
        </is>
      </c>
      <c r="C5" t="n">
        <v>15000000</v>
      </c>
      <c r="D5" t="n">
        <v>14900000</v>
      </c>
      <c r="E5">
        <f>IF(C5=D5,"Reconciled","Mismatch")</f>
        <v/>
      </c>
      <c r="F5" t="inlineStr"/>
    </row>
    <row r="6">
      <c r="A6" t="inlineStr">
        <is>
          <t>Insurance</t>
        </is>
      </c>
      <c r="B6" t="inlineStr">
        <is>
          <t>Indore</t>
        </is>
      </c>
      <c r="C6" t="n">
        <v>7500000</v>
      </c>
      <c r="D6" t="n">
        <v>7500000</v>
      </c>
      <c r="E6">
        <f>IF(C6=D6,"Reconciled","Mismatch")</f>
        <v/>
      </c>
      <c r="F6" t="inlineStr"/>
    </row>
  </sheetData>
  <autoFilter ref="A1:F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2" customWidth="1" min="8" max="8"/>
    <col width="28" customWidth="1" min="9" max="9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Income</t>
        </is>
      </c>
      <c r="D1" s="1" t="inlineStr">
        <is>
          <t>City</t>
        </is>
      </c>
      <c r="E1" s="1" t="inlineStr">
        <is>
          <t>PAN</t>
        </is>
      </c>
      <c r="F1" s="1" t="inlineStr">
        <is>
          <t>Amount</t>
        </is>
      </c>
      <c r="G1" s="1" t="inlineStr">
        <is>
          <t>Gender</t>
        </is>
      </c>
      <c r="H1" s="1" t="inlineStr">
        <is>
          <t>Solution / Formula</t>
        </is>
      </c>
      <c r="I1" s="1" t="inlineStr">
        <is>
          <t>Practice</t>
        </is>
      </c>
    </row>
    <row r="2">
      <c r="A2" t="inlineStr">
        <is>
          <t>C001</t>
        </is>
      </c>
      <c r="B2" t="inlineStr">
        <is>
          <t xml:space="preserve"> Ram Gopal </t>
        </is>
      </c>
      <c r="C2" t="inlineStr">
        <is>
          <t>50000</t>
        </is>
      </c>
      <c r="D2" t="inlineStr">
        <is>
          <t xml:space="preserve">Indore </t>
        </is>
      </c>
      <c r="E2" t="inlineStr">
        <is>
          <t>ABCDE1234F</t>
        </is>
      </c>
      <c r="F2" t="inlineStr">
        <is>
          <t>₹1,20,000</t>
        </is>
      </c>
      <c r="G2" t="inlineStr">
        <is>
          <t>M</t>
        </is>
      </c>
      <c r="H2">
        <f>UPPER(TRIM(B2))</f>
        <v/>
      </c>
      <c r="I2" t="inlineStr"/>
    </row>
    <row r="3">
      <c r="A3" t="inlineStr">
        <is>
          <t>C002</t>
        </is>
      </c>
      <c r="B3" t="inlineStr">
        <is>
          <t>Ramgopal Prajapati</t>
        </is>
      </c>
      <c r="C3" t="inlineStr"/>
      <c r="D3" t="inlineStr">
        <is>
          <t>indore</t>
        </is>
      </c>
      <c r="E3" t="inlineStr">
        <is>
          <t>ABCDE1234F</t>
        </is>
      </c>
      <c r="F3" t="inlineStr">
        <is>
          <t>1.2 Lakh</t>
        </is>
      </c>
      <c r="G3" t="inlineStr">
        <is>
          <t>Male</t>
        </is>
      </c>
      <c r="H3">
        <f>IF(C3="","Missing",C3)</f>
        <v/>
      </c>
      <c r="I3" t="inlineStr"/>
    </row>
    <row r="4">
      <c r="A4" t="inlineStr">
        <is>
          <t>C003</t>
        </is>
      </c>
      <c r="B4" t="inlineStr">
        <is>
          <t>Neha Sharma</t>
        </is>
      </c>
      <c r="C4" t="inlineStr">
        <is>
          <t>50000000</t>
        </is>
      </c>
      <c r="D4" t="inlineStr">
        <is>
          <t>Bhopal</t>
        </is>
      </c>
      <c r="E4" t="inlineStr">
        <is>
          <t>LMNOP1234Q</t>
        </is>
      </c>
      <c r="F4" t="inlineStr">
        <is>
          <t>25000</t>
        </is>
      </c>
      <c r="G4" t="inlineStr">
        <is>
          <t>F</t>
        </is>
      </c>
      <c r="H4">
        <f>IF(COUNTIF(E:E,E4)&gt;1,"Duplicate","Unique")</f>
        <v/>
      </c>
      <c r="I4" t="inlineStr"/>
    </row>
    <row r="5">
      <c r="A5" t="inlineStr">
        <is>
          <t>C004</t>
        </is>
      </c>
      <c r="B5" t="inlineStr">
        <is>
          <t>Amit Kumar</t>
        </is>
      </c>
      <c r="C5" t="inlineStr">
        <is>
          <t>60000</t>
        </is>
      </c>
      <c r="D5" t="inlineStr">
        <is>
          <t>INDORE</t>
        </is>
      </c>
      <c r="E5" t="inlineStr">
        <is>
          <t>XYZDE5678K</t>
        </is>
      </c>
      <c r="F5" t="inlineStr">
        <is>
          <t>20000</t>
        </is>
      </c>
      <c r="G5" t="inlineStr">
        <is>
          <t>M</t>
        </is>
      </c>
      <c r="H5">
        <f>UPPER(TRIM(D5))</f>
        <v/>
      </c>
      <c r="I5" t="inlineStr"/>
    </row>
    <row r="6">
      <c r="A6" t="inlineStr">
        <is>
          <t>C005</t>
        </is>
      </c>
      <c r="B6" t="inlineStr">
        <is>
          <t>Neha Sharma</t>
        </is>
      </c>
      <c r="C6" t="inlineStr">
        <is>
          <t>65000</t>
        </is>
      </c>
      <c r="D6" t="inlineStr">
        <is>
          <t xml:space="preserve"> Bhopal </t>
        </is>
      </c>
      <c r="E6" t="inlineStr">
        <is>
          <t>LMNOP1234Q</t>
        </is>
      </c>
      <c r="F6" t="inlineStr">
        <is>
          <t>30000</t>
        </is>
      </c>
      <c r="G6" t="inlineStr">
        <is>
          <t>Female</t>
        </is>
      </c>
      <c r="H6">
        <f>IF(COUNTIF(E:E,E6)&gt;1,"Duplicate","Unique")</f>
        <v/>
      </c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2026-08-26T05:47:47Z</dcterms:created>
  <dcterms:modified xmlns:dcterms="http://purl.org/dc/terms/" xmlns:xsi="http://www.w3.org/2001/XMLSchema-instance" xsi:type="dcterms:W3CDTF">2026-08-26T05:47:47Z</dcterms:modified>
</cp:coreProperties>
</file>